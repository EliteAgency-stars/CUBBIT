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efc197f639427/Escritorio/"/>
    </mc:Choice>
  </mc:AlternateContent>
  <xr:revisionPtr revIDLastSave="240" documentId="8_{E8A9F8D0-70DF-49F5-9847-44C89CD63280}" xr6:coauthVersionLast="47" xr6:coauthVersionMax="47" xr10:uidLastSave="{8DE65A2F-0ADD-4877-A089-89F3153ABDE0}"/>
  <bookViews>
    <workbookView xWindow="-108" yWindow="-108" windowWidth="23256" windowHeight="13176" activeTab="1" xr2:uid="{A77C1D49-DC96-44AA-93C7-089394C2F9A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F5" i="1"/>
  <c r="D63" i="1"/>
</calcChain>
</file>

<file path=xl/sharedStrings.xml><?xml version="1.0" encoding="utf-8"?>
<sst xmlns="http://schemas.openxmlformats.org/spreadsheetml/2006/main" count="68" uniqueCount="68">
  <si>
    <t xml:space="preserve">PAGOS OBRA CUBITT </t>
  </si>
  <si>
    <t xml:space="preserve">ANTICIPO: </t>
  </si>
  <si>
    <t>Victor señaletica</t>
  </si>
  <si>
    <t xml:space="preserve">proveedor </t>
  </si>
  <si>
    <t>pagos</t>
  </si>
  <si>
    <t>arq felipe</t>
  </si>
  <si>
    <t>fecha</t>
  </si>
  <si>
    <t>equipo chicas</t>
  </si>
  <si>
    <t>madecentro fresno</t>
  </si>
  <si>
    <t xml:space="preserve">ingeniero carlos </t>
  </si>
  <si>
    <t>desmonte vidrio</t>
  </si>
  <si>
    <t>pago zorra , cemento y casco</t>
  </si>
  <si>
    <t>pago materiales</t>
  </si>
  <si>
    <t>segundo pago chicas</t>
  </si>
  <si>
    <t xml:space="preserve">pago electricos </t>
  </si>
  <si>
    <t>segundo pago arq felipe</t>
  </si>
  <si>
    <t>abono mano de obra daniel</t>
  </si>
  <si>
    <t>pago parqueaderos contratistas</t>
  </si>
  <si>
    <t>pago tornilleria y canto madera</t>
  </si>
  <si>
    <t>pago drywall</t>
  </si>
  <si>
    <t>Saldo:</t>
  </si>
  <si>
    <t>pago acarreo santiago</t>
  </si>
  <si>
    <t>compra easy</t>
  </si>
  <si>
    <t>pago sara high gloss</t>
  </si>
  <si>
    <t>abono reja</t>
  </si>
  <si>
    <t>materiales drywal</t>
  </si>
  <si>
    <t>1/2 lamina  madecentro</t>
  </si>
  <si>
    <t>2do abono daniel</t>
  </si>
  <si>
    <t>abono m.o alex carpin</t>
  </si>
  <si>
    <t>tornilleria carpinteria</t>
  </si>
  <si>
    <t>pago niñas decor</t>
  </si>
  <si>
    <t>pago arq pipe</t>
  </si>
  <si>
    <t>abono videowall</t>
  </si>
  <si>
    <t>pago omegas</t>
  </si>
  <si>
    <t>pago materiales drywall</t>
  </si>
  <si>
    <t>pago enchape</t>
  </si>
  <si>
    <t>pago transporte escombros</t>
  </si>
  <si>
    <t>materiales 3ra semana</t>
  </si>
  <si>
    <t>materiales pintura y macilla</t>
  </si>
  <si>
    <t>ad. Iluminacion</t>
  </si>
  <si>
    <t>pago equipo</t>
  </si>
  <si>
    <t>abono 3er pago daniel</t>
  </si>
  <si>
    <t xml:space="preserve">pago final ing electrico </t>
  </si>
  <si>
    <t>transporte santiago</t>
  </si>
  <si>
    <t>pago rieles iluminacion</t>
  </si>
  <si>
    <t>abono estanteria metalica</t>
  </si>
  <si>
    <t>pago rieles y varios iluminacion</t>
  </si>
  <si>
    <t>varios transporte luces</t>
  </si>
  <si>
    <t xml:space="preserve">Pago final reja </t>
  </si>
  <si>
    <t>compra varios materiales</t>
  </si>
  <si>
    <t>ultimo pago daniel</t>
  </si>
  <si>
    <t>pago equipo chicas y arq pipe</t>
  </si>
  <si>
    <t>abono alex carpinteria</t>
  </si>
  <si>
    <t>pago transporte santi carpinteria y escombros</t>
  </si>
  <si>
    <t>pago materiales varios carpinteria, cnc y transportes</t>
  </si>
  <si>
    <t>compra drywall y varios obra</t>
  </si>
  <si>
    <t>saldo actual</t>
  </si>
  <si>
    <t>compra varios easy</t>
  </si>
  <si>
    <t>compra easy varios</t>
  </si>
  <si>
    <t>pago comida cubitt</t>
  </si>
  <si>
    <t>varios transporte gerencia valentina</t>
  </si>
  <si>
    <t>pago cajas, tomas corrientes y transporte andamios</t>
  </si>
  <si>
    <t>sumatoria total:</t>
  </si>
  <si>
    <t>gastos totales:</t>
  </si>
  <si>
    <t>relacion de costos tienda cubitt</t>
  </si>
  <si>
    <t xml:space="preserve">costo directo con AIU: </t>
  </si>
  <si>
    <t>anticipo total:</t>
  </si>
  <si>
    <t>saldo actual: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</si>
</sst>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/>
    <xf numFmtId="44" fontId="0" fillId="0" borderId="0" xfId="0" applyNumberFormat="1" applyAlignment="1">
      <alignment wrapText="1"/>
    </xf>
    <xf numFmtId="16" fontId="0" fillId="0" borderId="1" xfId="0" applyNumberFormat="1" applyBorder="1"/>
    <xf numFmtId="0" fontId="2" fillId="2" borderId="1" xfId="0" applyFont="1" applyFill="1" applyBorder="1" applyAlignment="1">
      <alignment wrapText="1"/>
    </xf>
    <xf numFmtId="44" fontId="2" fillId="2" borderId="1" xfId="1" applyFont="1" applyFill="1" applyBorder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horizontal="right"/>
    </xf>
    <xf numFmtId="16" fontId="0" fillId="0" borderId="0" xfId="0" applyNumberFormat="1"/>
    <xf numFmtId="44" fontId="0" fillId="0" borderId="0" xfId="1" applyFont="1" applyAlignment="1">
      <alignment wrapText="1"/>
    </xf>
    <xf numFmtId="44" fontId="2" fillId="0" borderId="1" xfId="1" applyFont="1" applyBorder="1"/>
    <xf numFmtId="44" fontId="0" fillId="3" borderId="2" xfId="0" applyNumberFormat="1" applyFill="1" applyBorder="1" applyAlignment="1">
      <alignment wrapText="1"/>
    </xf>
    <xf numFmtId="44" fontId="0" fillId="4" borderId="1" xfId="1" applyFont="1" applyFill="1" applyBorder="1" applyAlignment="1">
      <alignment wrapText="1"/>
    </xf>
    <xf numFmtId="0" fontId="2" fillId="2" borderId="3" xfId="0" applyFont="1" applyFill="1" applyBorder="1"/>
    <xf numFmtId="0" fontId="2" fillId="5" borderId="1" xfId="0" applyFont="1" applyFill="1" applyBorder="1" applyAlignment="1">
      <alignment horizontal="right"/>
    </xf>
    <xf numFmtId="44" fontId="0" fillId="5" borderId="1" xfId="0" applyNumberFormat="1" applyFill="1" applyBorder="1" applyAlignment="1">
      <alignment wrapText="1"/>
    </xf>
    <xf numFmtId="44" fontId="2" fillId="4" borderId="1" xfId="0" applyNumberFormat="1" applyFont="1" applyFill="1" applyBorder="1"/>
    <xf numFmtId="0" fontId="2" fillId="6" borderId="1" xfId="0" applyFont="1" applyFill="1" applyBorder="1" applyAlignment="1">
      <alignment horizontal="center" wrapText="1"/>
    </xf>
    <xf numFmtId="44" fontId="0" fillId="6" borderId="1" xfId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8EC1-18B6-4E4D-A460-9018DA0D6FD7}">
  <dimension ref="C4:G67"/>
  <sheetViews>
    <sheetView zoomScaleNormal="100" workbookViewId="0">
      <selection activeCell="I18" sqref="I18"/>
    </sheetView>
  </sheetViews>
  <sheetFormatPr baseColWidth="10" defaultRowHeight="14.4" x14ac:dyDescent="0.3"/>
  <cols>
    <col min="3" max="3" width="15" style="2" customWidth="1"/>
    <col min="4" max="4" width="16.44140625" style="1" bestFit="1" customWidth="1"/>
    <col min="5" max="5" width="16.33203125" customWidth="1"/>
    <col min="6" max="6" width="16.44140625" style="2" customWidth="1"/>
    <col min="7" max="7" width="14.33203125" bestFit="1" customWidth="1"/>
  </cols>
  <sheetData>
    <row r="4" spans="3:7" ht="28.8" x14ac:dyDescent="0.3">
      <c r="C4" s="9" t="s">
        <v>0</v>
      </c>
      <c r="F4" s="5"/>
    </row>
    <row r="5" spans="3:7" x14ac:dyDescent="0.3">
      <c r="C5" s="20" t="s">
        <v>1</v>
      </c>
      <c r="D5" s="21">
        <v>107300000</v>
      </c>
      <c r="E5" s="10" t="s">
        <v>20</v>
      </c>
      <c r="F5" s="14">
        <f>D5-F6</f>
        <v>3712160</v>
      </c>
      <c r="G5" s="19" t="s">
        <v>56</v>
      </c>
    </row>
    <row r="6" spans="3:7" x14ac:dyDescent="0.3">
      <c r="C6" s="20"/>
      <c r="D6" s="21"/>
      <c r="E6" s="17" t="s">
        <v>63</v>
      </c>
      <c r="F6" s="18">
        <f>D8+D9+D10+D11+D12+D13+D14+D15+D16+D17+D18+D19+D20+D21+D22+D23+D24+D25+D26+D27+D28+D29+D30+D31+D32+D33+D34+D35+D36+D37+D38+D39+D40+D41+D42+D43+D44+D45+D46+D47+D48+D49+D50+D51+D52+D53+D54+D55+D56+D57+D58+D59+D60+D61+D62</f>
        <v>103587840</v>
      </c>
      <c r="G6" s="15">
        <v>2632000</v>
      </c>
    </row>
    <row r="7" spans="3:7" x14ac:dyDescent="0.3">
      <c r="C7" s="7" t="s">
        <v>3</v>
      </c>
      <c r="D7" s="8" t="s">
        <v>4</v>
      </c>
      <c r="E7" s="16" t="s">
        <v>6</v>
      </c>
    </row>
    <row r="8" spans="3:7" x14ac:dyDescent="0.3">
      <c r="C8" s="3" t="s">
        <v>2</v>
      </c>
      <c r="D8" s="4">
        <v>7000000</v>
      </c>
      <c r="E8" s="6">
        <v>46198</v>
      </c>
    </row>
    <row r="9" spans="3:7" x14ac:dyDescent="0.3">
      <c r="C9" s="3" t="s">
        <v>5</v>
      </c>
      <c r="D9" s="4">
        <v>1500000</v>
      </c>
      <c r="E9" s="6">
        <v>46198</v>
      </c>
    </row>
    <row r="10" spans="3:7" x14ac:dyDescent="0.3">
      <c r="C10" s="3" t="s">
        <v>7</v>
      </c>
      <c r="D10" s="4">
        <v>1500000</v>
      </c>
      <c r="E10" s="6">
        <v>46198</v>
      </c>
    </row>
    <row r="11" spans="3:7" ht="28.8" x14ac:dyDescent="0.3">
      <c r="C11" s="3" t="s">
        <v>8</v>
      </c>
      <c r="D11" s="4">
        <v>4913240</v>
      </c>
      <c r="E11" s="6">
        <v>46200</v>
      </c>
    </row>
    <row r="12" spans="3:7" x14ac:dyDescent="0.3">
      <c r="C12" s="3" t="s">
        <v>9</v>
      </c>
      <c r="D12" s="4">
        <v>1500000</v>
      </c>
      <c r="E12" s="6">
        <v>46203</v>
      </c>
    </row>
    <row r="13" spans="3:7" x14ac:dyDescent="0.3">
      <c r="C13" s="3" t="s">
        <v>10</v>
      </c>
      <c r="D13" s="4">
        <v>2600000</v>
      </c>
      <c r="E13" s="6">
        <v>46206</v>
      </c>
    </row>
    <row r="14" spans="3:7" ht="28.8" x14ac:dyDescent="0.3">
      <c r="C14" s="3" t="s">
        <v>11</v>
      </c>
      <c r="D14" s="4">
        <v>454330</v>
      </c>
      <c r="E14" s="6">
        <v>46205</v>
      </c>
    </row>
    <row r="15" spans="3:7" x14ac:dyDescent="0.3">
      <c r="C15" s="3" t="s">
        <v>12</v>
      </c>
      <c r="D15" s="4">
        <v>1142600</v>
      </c>
      <c r="E15" s="6">
        <v>46206</v>
      </c>
    </row>
    <row r="16" spans="3:7" ht="28.8" x14ac:dyDescent="0.3">
      <c r="C16" s="3" t="s">
        <v>13</v>
      </c>
      <c r="D16" s="4">
        <v>1500000</v>
      </c>
      <c r="E16" s="6">
        <v>46207</v>
      </c>
    </row>
    <row r="17" spans="3:5" x14ac:dyDescent="0.3">
      <c r="C17" s="3" t="s">
        <v>14</v>
      </c>
      <c r="D17" s="4">
        <v>2011550</v>
      </c>
      <c r="E17" s="6">
        <v>46207</v>
      </c>
    </row>
    <row r="18" spans="3:5" ht="28.8" x14ac:dyDescent="0.3">
      <c r="C18" s="3" t="s">
        <v>15</v>
      </c>
      <c r="D18" s="4">
        <v>2000000</v>
      </c>
      <c r="E18" s="6">
        <v>46207</v>
      </c>
    </row>
    <row r="19" spans="3:5" ht="28.8" x14ac:dyDescent="0.3">
      <c r="C19" s="3" t="s">
        <v>16</v>
      </c>
      <c r="D19" s="4">
        <v>3750000</v>
      </c>
      <c r="E19" s="6">
        <v>46207</v>
      </c>
    </row>
    <row r="20" spans="3:5" ht="43.2" x14ac:dyDescent="0.3">
      <c r="C20" s="3" t="s">
        <v>17</v>
      </c>
      <c r="D20" s="4">
        <v>150000</v>
      </c>
      <c r="E20" s="6">
        <v>46206</v>
      </c>
    </row>
    <row r="21" spans="3:5" ht="28.8" x14ac:dyDescent="0.3">
      <c r="C21" s="3" t="s">
        <v>18</v>
      </c>
      <c r="D21" s="4">
        <v>250000</v>
      </c>
      <c r="E21" s="6">
        <v>46207</v>
      </c>
    </row>
    <row r="22" spans="3:5" x14ac:dyDescent="0.3">
      <c r="C22" s="3" t="s">
        <v>19</v>
      </c>
      <c r="D22" s="4">
        <v>3515561</v>
      </c>
      <c r="E22" s="6">
        <v>46203</v>
      </c>
    </row>
    <row r="23" spans="3:5" ht="28.8" x14ac:dyDescent="0.3">
      <c r="C23" s="3" t="s">
        <v>21</v>
      </c>
      <c r="D23" s="4">
        <v>280000</v>
      </c>
      <c r="E23" s="6">
        <v>46204</v>
      </c>
    </row>
    <row r="24" spans="3:5" x14ac:dyDescent="0.3">
      <c r="C24" s="3" t="s">
        <v>22</v>
      </c>
      <c r="D24" s="4">
        <v>286710</v>
      </c>
      <c r="E24" s="6">
        <v>46204</v>
      </c>
    </row>
    <row r="25" spans="3:5" ht="28.8" x14ac:dyDescent="0.3">
      <c r="C25" s="3" t="s">
        <v>23</v>
      </c>
      <c r="D25" s="4">
        <v>4867965</v>
      </c>
      <c r="E25" s="6">
        <v>46209</v>
      </c>
    </row>
    <row r="26" spans="3:5" x14ac:dyDescent="0.3">
      <c r="C26" s="3" t="s">
        <v>24</v>
      </c>
      <c r="D26" s="4">
        <v>6000000</v>
      </c>
      <c r="E26" s="6">
        <v>46216</v>
      </c>
    </row>
    <row r="27" spans="3:5" ht="28.8" x14ac:dyDescent="0.3">
      <c r="C27" s="3" t="s">
        <v>25</v>
      </c>
      <c r="D27" s="4">
        <v>874000</v>
      </c>
      <c r="E27" s="6">
        <v>46216</v>
      </c>
    </row>
    <row r="28" spans="3:5" ht="28.8" x14ac:dyDescent="0.3">
      <c r="C28" s="3" t="s">
        <v>26</v>
      </c>
      <c r="D28" s="4">
        <v>149000</v>
      </c>
      <c r="E28" s="6">
        <v>46214</v>
      </c>
    </row>
    <row r="29" spans="3:5" x14ac:dyDescent="0.3">
      <c r="C29" s="3" t="s">
        <v>27</v>
      </c>
      <c r="D29" s="4">
        <v>3750000</v>
      </c>
      <c r="E29" s="6">
        <v>46214</v>
      </c>
    </row>
    <row r="30" spans="3:5" ht="28.8" x14ac:dyDescent="0.3">
      <c r="C30" s="3" t="s">
        <v>28</v>
      </c>
      <c r="D30" s="4">
        <v>1500000</v>
      </c>
      <c r="E30" s="6">
        <v>46214</v>
      </c>
    </row>
    <row r="31" spans="3:5" ht="28.8" x14ac:dyDescent="0.3">
      <c r="C31" s="3" t="s">
        <v>29</v>
      </c>
      <c r="D31" s="4">
        <v>105000</v>
      </c>
      <c r="E31" s="6">
        <v>46214</v>
      </c>
    </row>
    <row r="32" spans="3:5" x14ac:dyDescent="0.3">
      <c r="C32" s="3" t="s">
        <v>30</v>
      </c>
      <c r="D32" s="4">
        <v>1500000</v>
      </c>
      <c r="E32" s="6">
        <v>46214</v>
      </c>
    </row>
    <row r="33" spans="3:5" x14ac:dyDescent="0.3">
      <c r="C33" s="3" t="s">
        <v>31</v>
      </c>
      <c r="D33" s="4">
        <v>2000000</v>
      </c>
      <c r="E33" s="6">
        <v>46214</v>
      </c>
    </row>
    <row r="34" spans="3:5" x14ac:dyDescent="0.3">
      <c r="C34" s="3" t="s">
        <v>32</v>
      </c>
      <c r="D34" s="4">
        <v>5708000</v>
      </c>
      <c r="E34" s="6">
        <v>46211</v>
      </c>
    </row>
    <row r="35" spans="3:5" x14ac:dyDescent="0.3">
      <c r="C35" s="3" t="s">
        <v>33</v>
      </c>
      <c r="D35" s="4">
        <v>110000</v>
      </c>
      <c r="E35" s="6">
        <v>46213</v>
      </c>
    </row>
    <row r="36" spans="3:5" ht="28.8" x14ac:dyDescent="0.3">
      <c r="C36" s="3" t="s">
        <v>34</v>
      </c>
      <c r="D36" s="4">
        <v>799000</v>
      </c>
      <c r="E36" s="6">
        <v>46213</v>
      </c>
    </row>
    <row r="37" spans="3:5" x14ac:dyDescent="0.3">
      <c r="C37" s="3" t="s">
        <v>35</v>
      </c>
      <c r="D37" s="4">
        <v>3108000</v>
      </c>
      <c r="E37" s="6">
        <v>46210</v>
      </c>
    </row>
    <row r="38" spans="3:5" ht="28.8" x14ac:dyDescent="0.3">
      <c r="C38" s="3" t="s">
        <v>36</v>
      </c>
      <c r="D38" s="4">
        <v>650000</v>
      </c>
      <c r="E38" s="6">
        <v>46211</v>
      </c>
    </row>
    <row r="39" spans="3:5" ht="28.8" x14ac:dyDescent="0.3">
      <c r="C39" s="3" t="s">
        <v>37</v>
      </c>
      <c r="D39" s="4">
        <v>670000</v>
      </c>
      <c r="E39" s="6">
        <v>46218</v>
      </c>
    </row>
    <row r="40" spans="3:5" ht="28.8" x14ac:dyDescent="0.3">
      <c r="C40" s="3" t="s">
        <v>38</v>
      </c>
      <c r="D40" s="4">
        <v>440000</v>
      </c>
      <c r="E40" s="6">
        <v>46219</v>
      </c>
    </row>
    <row r="41" spans="3:5" x14ac:dyDescent="0.3">
      <c r="C41" s="3" t="s">
        <v>39</v>
      </c>
      <c r="D41" s="4">
        <v>250000</v>
      </c>
      <c r="E41" s="6">
        <v>46220</v>
      </c>
    </row>
    <row r="42" spans="3:5" x14ac:dyDescent="0.3">
      <c r="C42" s="3" t="s">
        <v>40</v>
      </c>
      <c r="D42" s="4">
        <v>3500000</v>
      </c>
      <c r="E42" s="6">
        <v>46220</v>
      </c>
    </row>
    <row r="43" spans="3:5" ht="28.8" x14ac:dyDescent="0.3">
      <c r="C43" s="3" t="s">
        <v>41</v>
      </c>
      <c r="D43" s="4">
        <v>3750000</v>
      </c>
      <c r="E43" s="6">
        <v>46220</v>
      </c>
    </row>
    <row r="44" spans="3:5" ht="28.8" x14ac:dyDescent="0.3">
      <c r="C44" s="3" t="s">
        <v>42</v>
      </c>
      <c r="D44" s="4">
        <v>1500000</v>
      </c>
      <c r="E44" s="6">
        <v>46220</v>
      </c>
    </row>
    <row r="45" spans="3:5" ht="28.8" x14ac:dyDescent="0.3">
      <c r="C45" s="3" t="s">
        <v>43</v>
      </c>
      <c r="D45" s="4">
        <v>250000</v>
      </c>
      <c r="E45" s="6">
        <v>46220</v>
      </c>
    </row>
    <row r="46" spans="3:5" ht="28.8" x14ac:dyDescent="0.3">
      <c r="C46" s="3" t="s">
        <v>44</v>
      </c>
      <c r="D46" s="4">
        <v>3091000</v>
      </c>
      <c r="E46" s="6">
        <v>46220</v>
      </c>
    </row>
    <row r="47" spans="3:5" ht="28.8" x14ac:dyDescent="0.3">
      <c r="C47" s="3" t="s">
        <v>45</v>
      </c>
      <c r="D47" s="4">
        <v>880000</v>
      </c>
      <c r="E47" s="6">
        <v>46220</v>
      </c>
    </row>
    <row r="48" spans="3:5" ht="43.2" x14ac:dyDescent="0.3">
      <c r="C48" s="3" t="s">
        <v>46</v>
      </c>
      <c r="D48" s="4">
        <v>1359000</v>
      </c>
      <c r="E48" s="6">
        <v>46225</v>
      </c>
    </row>
    <row r="49" spans="3:5" ht="28.8" x14ac:dyDescent="0.3">
      <c r="C49" s="3" t="s">
        <v>47</v>
      </c>
      <c r="D49" s="4">
        <v>191000</v>
      </c>
      <c r="E49" s="6">
        <v>46225</v>
      </c>
    </row>
    <row r="50" spans="3:5" x14ac:dyDescent="0.3">
      <c r="C50" s="3" t="s">
        <v>48</v>
      </c>
      <c r="D50" s="4">
        <v>10000000</v>
      </c>
      <c r="E50" s="6">
        <v>46226</v>
      </c>
    </row>
    <row r="51" spans="3:5" ht="28.8" x14ac:dyDescent="0.3">
      <c r="C51" s="3" t="s">
        <v>49</v>
      </c>
      <c r="D51" s="4">
        <v>172000</v>
      </c>
      <c r="E51" s="6">
        <v>46227</v>
      </c>
    </row>
    <row r="52" spans="3:5" ht="28.8" x14ac:dyDescent="0.3">
      <c r="C52" s="3" t="s">
        <v>50</v>
      </c>
      <c r="D52" s="4">
        <v>3750000</v>
      </c>
      <c r="E52" s="6">
        <v>46228</v>
      </c>
    </row>
    <row r="53" spans="3:5" ht="28.8" x14ac:dyDescent="0.3">
      <c r="C53" s="3" t="s">
        <v>51</v>
      </c>
      <c r="D53" s="4">
        <v>3000000</v>
      </c>
      <c r="E53" s="6">
        <v>46228</v>
      </c>
    </row>
    <row r="54" spans="3:5" ht="28.8" x14ac:dyDescent="0.3">
      <c r="C54" s="3" t="s">
        <v>52</v>
      </c>
      <c r="D54" s="4">
        <v>1000000</v>
      </c>
      <c r="E54" s="6">
        <v>46229</v>
      </c>
    </row>
    <row r="55" spans="3:5" ht="43.2" x14ac:dyDescent="0.3">
      <c r="C55" s="3" t="s">
        <v>53</v>
      </c>
      <c r="D55" s="4">
        <v>480000</v>
      </c>
      <c r="E55" s="6">
        <v>46226</v>
      </c>
    </row>
    <row r="56" spans="3:5" ht="57.6" x14ac:dyDescent="0.3">
      <c r="C56" s="3" t="s">
        <v>54</v>
      </c>
      <c r="D56" s="4">
        <v>855150</v>
      </c>
      <c r="E56" s="6">
        <v>46225</v>
      </c>
    </row>
    <row r="57" spans="3:5" ht="28.8" x14ac:dyDescent="0.3">
      <c r="C57" s="3" t="s">
        <v>55</v>
      </c>
      <c r="D57" s="4">
        <v>233800</v>
      </c>
      <c r="E57" s="6">
        <v>46224</v>
      </c>
    </row>
    <row r="58" spans="3:5" ht="28.8" x14ac:dyDescent="0.3">
      <c r="C58" s="3" t="s">
        <v>57</v>
      </c>
      <c r="D58" s="4">
        <v>131600</v>
      </c>
      <c r="E58" s="6">
        <v>46226</v>
      </c>
    </row>
    <row r="59" spans="3:5" ht="28.8" x14ac:dyDescent="0.3">
      <c r="C59" s="3" t="s">
        <v>58</v>
      </c>
      <c r="D59" s="4">
        <v>80890</v>
      </c>
      <c r="E59" s="6">
        <v>46227</v>
      </c>
    </row>
    <row r="60" spans="3:5" ht="28.8" x14ac:dyDescent="0.3">
      <c r="C60" s="3" t="s">
        <v>59</v>
      </c>
      <c r="D60" s="4">
        <v>288444</v>
      </c>
      <c r="E60" s="6">
        <v>46227</v>
      </c>
    </row>
    <row r="61" spans="3:5" ht="43.2" x14ac:dyDescent="0.3">
      <c r="C61" s="3" t="s">
        <v>60</v>
      </c>
      <c r="D61" s="4">
        <v>1000000</v>
      </c>
      <c r="E61" s="6">
        <v>46227</v>
      </c>
    </row>
    <row r="62" spans="3:5" ht="57.6" x14ac:dyDescent="0.3">
      <c r="C62" s="3" t="s">
        <v>61</v>
      </c>
      <c r="D62" s="4">
        <v>1240000</v>
      </c>
      <c r="E62" s="6">
        <v>46227</v>
      </c>
    </row>
    <row r="63" spans="3:5" x14ac:dyDescent="0.3">
      <c r="C63" s="3" t="s">
        <v>62</v>
      </c>
      <c r="D63" s="13">
        <f>SUM(D8:D62)</f>
        <v>103587840</v>
      </c>
      <c r="E63" s="11"/>
    </row>
    <row r="64" spans="3:5" x14ac:dyDescent="0.3">
      <c r="E64" s="11"/>
    </row>
    <row r="67" spans="6:6" x14ac:dyDescent="0.3">
      <c r="F67" s="12"/>
    </row>
  </sheetData>
  <mergeCells count="2"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5402-53E3-426C-901B-1F67965C55EA}">
  <dimension ref="F5:H8"/>
  <sheetViews>
    <sheetView tabSelected="1" workbookViewId="0">
      <selection activeCell="F9" sqref="F9"/>
    </sheetView>
  </sheetViews>
  <sheetFormatPr baseColWidth="10" defaultRowHeight="14.4" x14ac:dyDescent="0.3"/>
  <cols>
    <col min="8" max="8" width="16.44140625" bestFit="1" customWidth="1"/>
  </cols>
  <sheetData>
    <row r="5" spans="6:8" x14ac:dyDescent="0.3">
      <c r="F5" t="s">
        <v>64</v>
      </c>
    </row>
    <row r="6" spans="6:8" x14ac:dyDescent="0.3">
      <c r="F6" t="s">
        <v>65</v>
      </c>
      <c r="H6" s="1">
        <v>197976846</v>
      </c>
    </row>
    <row r="7" spans="6:8" x14ac:dyDescent="0.3">
      <c r="F7" s="22" t="s">
        <v>66</v>
      </c>
      <c r="G7" s="22"/>
      <c r="H7" s="1">
        <v>107300000</v>
      </c>
    </row>
    <row r="8" spans="6:8" x14ac:dyDescent="0.3">
      <c r="F8" s="22" t="s">
        <v>67</v>
      </c>
      <c r="G8" s="22"/>
      <c r="H8" s="1">
        <v>2632000</v>
      </c>
    </row>
  </sheetData>
  <mergeCells count="2">
    <mergeCell ref="F7:G7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pedraza orjuela</dc:creator>
  <cp:lastModifiedBy>valentina pedraza orjuela</cp:lastModifiedBy>
  <dcterms:created xsi:type="dcterms:W3CDTF">2026-07-06T17:42:45Z</dcterms:created>
  <dcterms:modified xsi:type="dcterms:W3CDTF">2026-07-27T18:09:47Z</dcterms:modified>
</cp:coreProperties>
</file>